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hpe-my.sharepoint.com/personal/arianne-may_escabillas_hpe_com/Documents/"/>
    </mc:Choice>
  </mc:AlternateContent>
  <xr:revisionPtr revIDLastSave="0" documentId="8_{A3670CED-CEDB-4078-BBB8-7882E49427B8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Deviation" sheetId="11" r:id="rId1"/>
    <sheet name="Andre John Castor" sheetId="1" r:id="rId2"/>
    <sheet name="Arianne May Escabillas" sheetId="2" r:id="rId3"/>
    <sheet name="Denmark Navarro" sheetId="3" r:id="rId4"/>
    <sheet name="Ian Christian Derez" sheetId="4" r:id="rId5"/>
    <sheet name="Jasmin Gonzales" sheetId="5" r:id="rId6"/>
    <sheet name="John Linnel Adagao" sheetId="6" r:id="rId7"/>
    <sheet name="June John Cruz" sheetId="7" r:id="rId8"/>
    <sheet name="Leo Renz Calizo" sheetId="8" r:id="rId9"/>
    <sheet name="Marinelle Espinosa" sheetId="9" r:id="rId10"/>
    <sheet name="May Ann Ramirez" sheetId="10" r:id="rId11"/>
  </sheets>
  <calcPr calcId="191028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1" l="1"/>
  <c r="B2" i="11"/>
</calcChain>
</file>

<file path=xl/sharedStrings.xml><?xml version="1.0" encoding="utf-8"?>
<sst xmlns="http://schemas.openxmlformats.org/spreadsheetml/2006/main" count="265" uniqueCount="34">
  <si>
    <t>Date</t>
  </si>
  <si>
    <t>Manager</t>
  </si>
  <si>
    <t>Name</t>
  </si>
  <si>
    <t>Shift Time</t>
  </si>
  <si>
    <t>Start Time</t>
  </si>
  <si>
    <t>End Time</t>
  </si>
  <si>
    <t>Total Mins</t>
  </si>
  <si>
    <t>Aux</t>
  </si>
  <si>
    <t>Reason</t>
  </si>
  <si>
    <t>DATE</t>
  </si>
  <si>
    <t>CONTACT TYPE</t>
  </si>
  <si>
    <t>CASE #</t>
  </si>
  <si>
    <t>MAIN ISSUE</t>
  </si>
  <si>
    <t>PRODUCT GROUP</t>
  </si>
  <si>
    <t>DESCRIPTION</t>
  </si>
  <si>
    <t>STATUS</t>
  </si>
  <si>
    <t>STATUS REASON</t>
  </si>
  <si>
    <t>CALL</t>
  </si>
  <si>
    <t>CLEARPASS</t>
  </si>
  <si>
    <t>PROCURVE/PROVISION SWITCH</t>
  </si>
  <si>
    <t>CX SWITCH</t>
  </si>
  <si>
    <t xml:space="preserve"> CAMPUS &amp; BRANCH AP</t>
  </si>
  <si>
    <t>AIRWAVE</t>
  </si>
  <si>
    <t>CENTRAL</t>
  </si>
  <si>
    <t>INSTANT ON</t>
  </si>
  <si>
    <t>N/A</t>
  </si>
  <si>
    <t>MFQ</t>
  </si>
  <si>
    <t>INSTANT OS &amp; INSTANT AP</t>
  </si>
  <si>
    <t>SD-WAN</t>
  </si>
  <si>
    <t>DISCONNECTED</t>
  </si>
  <si>
    <t>COMWARE SWITCHES &amp; ROUTERS</t>
  </si>
  <si>
    <t>SUPPORT PORTAL</t>
  </si>
  <si>
    <t>CONTROLLER</t>
  </si>
  <si>
    <t>INTROSPECT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</si>
</sst>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color rgb="FF31333F"/>
      <name val="Source Sans Pro"/>
      <family val="2"/>
    </font>
    <font>
      <sz val="8"/>
      <color theme="0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9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1333F"/>
        <name val="Source Sans Pro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ource Sans Pro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16890F6-0901-4190-AA47-9F75FED5BA67}" name="Table11" displayName="Table11" ref="A1:I2" totalsRowShown="0" headerRowDxfId="92" dataDxfId="91">
  <autoFilter ref="A1:I2" xr:uid="{316890F6-0901-4190-AA47-9F75FED5BA67}"/>
  <tableColumns count="9">
    <tableColumn id="1" xr3:uid="{1AC75AF8-D795-47CD-95A2-D3B13FFFE769}" name="Date" dataDxfId="90"/>
    <tableColumn id="2" xr3:uid="{BF34EA58-D579-48FD-9A52-412736C24BA5}" name="Manager" dataDxfId="89">
      <calculatedColumnFormula>IF(Table11[[#This Row],[Name]]&lt;&gt;"","Jeff Bote","")</calculatedColumnFormula>
    </tableColumn>
    <tableColumn id="3" xr3:uid="{A44185EB-49D3-41EB-872C-DD76A67CDE29}" name="Name" dataDxfId="88"/>
    <tableColumn id="4" xr3:uid="{448BEC16-5A20-4E84-A575-2B2FE8FF9444}" name="Shift Time" dataDxfId="87">
      <calculatedColumnFormula>IF(Table11[[#This Row],[Name]]&lt;&gt;"","06:00 PM - 03:00 AM PHT","")</calculatedColumnFormula>
    </tableColumn>
    <tableColumn id="5" xr3:uid="{43545F5F-31C6-408B-8563-6BCA7BA021EB}" name="Start Time" dataDxfId="86"/>
    <tableColumn id="6" xr3:uid="{B1EF8CC2-AD9D-48E3-AE43-461A7D985277}" name="End Time" dataDxfId="85"/>
    <tableColumn id="7" xr3:uid="{F93D4A57-80E4-4B9D-9ACB-1B59DC6D6DC9}" name="Total Mins" dataDxfId="84"/>
    <tableColumn id="8" xr3:uid="{329BC4F3-90B4-417E-A526-F3D96A18274B}" name="Aux" dataDxfId="83"/>
    <tableColumn id="9" xr3:uid="{88128B7C-5D61-4C52-A59F-11EECE961026}" name="Reason" dataDxfId="8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D0D728-17B6-4992-9096-850F7E110CC4}" name="Table1" displayName="Table1" ref="A1:H21" totalsRowShown="0" headerRowDxfId="81" dataDxfId="80">
  <autoFilter ref="A1:H21" xr:uid="{38D0D728-17B6-4992-9096-850F7E110CC4}"/>
  <tableColumns count="8">
    <tableColumn id="1" xr3:uid="{9F4297A7-A307-4BB4-AA10-54FBE1FD5283}" name="DATE" dataDxfId="79"/>
    <tableColumn id="2" xr3:uid="{CF76ADE6-9281-4683-8060-B6540F1D14AD}" name="CONTACT TYPE" dataDxfId="78"/>
    <tableColumn id="3" xr3:uid="{D33EE056-1455-4D38-A142-B0EABE73DEB9}" name="CASE #" dataDxfId="77"/>
    <tableColumn id="4" xr3:uid="{024B4585-04FE-4147-8B19-C8EA44AAA7FB}" name="MAIN ISSUE" dataDxfId="76"/>
    <tableColumn id="5" xr3:uid="{BF7CCD6A-9089-4F7E-A2F1-6326AC9A087E}" name="PRODUCT GROUP" dataDxfId="75"/>
    <tableColumn id="6" xr3:uid="{926CF52E-9649-49F6-963E-E0F6307E7E3B}" name="DESCRIPTION" dataDxfId="74"/>
    <tableColumn id="7" xr3:uid="{67F525BD-54CF-4532-8E41-597F2EA34843}" name="STATUS" dataDxfId="73"/>
    <tableColumn id="8" xr3:uid="{E5723DD9-3706-4227-AF4D-BD7F67039C23}" name="STATUS REASON" dataDxfId="72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DD4E01-84CE-4F5E-8559-A34ACD3F82BD}" name="Table13" displayName="Table13" ref="A1:H81" totalsRowShown="0">
  <autoFilter ref="A1:H81" xr:uid="{83DD4E01-84CE-4F5E-8559-A34ACD3F82BD}"/>
  <tableColumns count="8">
    <tableColumn id="1" xr3:uid="{8E14E0F6-4B6D-400E-98FD-83120A4206BD}" name="DATE" dataDxfId="71"/>
    <tableColumn id="2" xr3:uid="{62339DA9-A311-488A-89DC-37D3D054FEA2}" name="CONTACT TYPE" dataDxfId="70"/>
    <tableColumn id="3" xr3:uid="{CC522A00-E14E-4F40-A6E9-A2410DB5FF25}" name="CASE #" dataDxfId="69"/>
    <tableColumn id="4" xr3:uid="{F3A56A8C-33D7-4CE3-B9C8-546ED0418F80}" name="MAIN ISSUE" dataDxfId="68"/>
    <tableColumn id="5" xr3:uid="{2BCFAC14-79FD-4D0D-9210-A3EAE601F12A}" name="PRODUCT GROUP" dataDxfId="67"/>
    <tableColumn id="6" xr3:uid="{951C1845-4D62-4F51-B342-C992D1EB6FA5}" name="DESCRIPTION" dataDxfId="66"/>
    <tableColumn id="7" xr3:uid="{6230DA0C-C04A-4885-8643-3601C2771985}" name="STATUS" dataDxfId="65"/>
    <tableColumn id="8" xr3:uid="{64D8C8B6-AB4A-4198-8CC3-AA103EE37A52}" name="STATUS REASON" dataDxfId="64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BFCC87-34E3-42CA-BAF7-80211A64E9B8}" name="Table134" displayName="Table134" ref="A1:H2" totalsRowShown="0">
  <autoFilter ref="A1:H2" xr:uid="{BCBFCC87-34E3-42CA-BAF7-80211A64E9B8}"/>
  <tableColumns count="8">
    <tableColumn id="1" xr3:uid="{7B1F2D37-B46B-4EF4-A70E-34E923EEB939}" name="DATE" dataDxfId="63"/>
    <tableColumn id="2" xr3:uid="{A245A64C-605E-4BBC-A140-7DA0FCFA1A43}" name="CONTACT TYPE" dataDxfId="62"/>
    <tableColumn id="3" xr3:uid="{5624B92D-5CC2-49C1-BD21-DB1E30963660}" name="CASE #" dataDxfId="61"/>
    <tableColumn id="4" xr3:uid="{48EC7952-2275-401F-B8AD-7793761D599C}" name="MAIN ISSUE" dataDxfId="60"/>
    <tableColumn id="5" xr3:uid="{C13B6AE0-C0E4-48C0-8012-D3F072A525B4}" name="PRODUCT GROUP" dataDxfId="59"/>
    <tableColumn id="6" xr3:uid="{34180BC3-C4C9-44B3-821C-8B4903E1A918}" name="DESCRIPTION" dataDxfId="58"/>
    <tableColumn id="7" xr3:uid="{657180A3-311A-47EB-8E8F-293CA9D4A4CE}" name="STATUS" dataDxfId="57"/>
    <tableColumn id="8" xr3:uid="{09E5B328-1323-4742-B98B-186F60718345}" name="STATUS REASON" dataDxfId="56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C069F3-C83C-4D18-977D-590D3AA61793}" name="Table1345" displayName="Table1345" ref="A1:H2" totalsRowShown="0">
  <autoFilter ref="A1:H2" xr:uid="{1FC069F3-C83C-4D18-977D-590D3AA61793}"/>
  <tableColumns count="8">
    <tableColumn id="1" xr3:uid="{8F731075-ABED-4505-BA1D-E5FA9F558ACF}" name="DATE" dataDxfId="55"/>
    <tableColumn id="2" xr3:uid="{8C1468D3-7F62-46DF-9544-98F929477BC3}" name="CONTACT TYPE" dataDxfId="54"/>
    <tableColumn id="3" xr3:uid="{6FCD4BA6-CCAE-4F44-8036-6CDDF28FD55E}" name="CASE #" dataDxfId="53"/>
    <tableColumn id="4" xr3:uid="{EDD65747-8C98-42C0-BC7A-F1BE7F3DA608}" name="MAIN ISSUE" dataDxfId="52"/>
    <tableColumn id="5" xr3:uid="{81C62190-E983-4AB3-9D00-9AAD099CF3B3}" name="PRODUCT GROUP" dataDxfId="51"/>
    <tableColumn id="6" xr3:uid="{AAFAF6F8-3BF7-4E0C-9BF9-CF4F63D4A8A6}" name="DESCRIPTION" dataDxfId="50"/>
    <tableColumn id="7" xr3:uid="{3D570DB5-BEFF-4F6A-818B-793DEDDD653D}" name="STATUS" dataDxfId="49"/>
    <tableColumn id="8" xr3:uid="{9D17F019-A0E4-484A-961A-ECDD20CBF793}" name="STATUS REASON" dataDxfId="48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602A74-3C01-45C7-98A1-C8059900444C}" name="Table1346" displayName="Table1346" ref="A1:H2" totalsRowShown="0">
  <autoFilter ref="A1:H2" xr:uid="{C4602A74-3C01-45C7-98A1-C8059900444C}"/>
  <tableColumns count="8">
    <tableColumn id="1" xr3:uid="{FE1E928E-4F9E-4F3A-BA20-99887909B4DB}" name="DATE" dataDxfId="47"/>
    <tableColumn id="2" xr3:uid="{C8F2527E-3151-47FC-AAF7-671B7232AE4F}" name="CONTACT TYPE" dataDxfId="46"/>
    <tableColumn id="3" xr3:uid="{817EF9B2-1B84-48B2-977A-6EFD00827172}" name="CASE #" dataDxfId="45"/>
    <tableColumn id="4" xr3:uid="{CCDE4E8F-C8F8-4F72-8F09-32168A77DC35}" name="MAIN ISSUE" dataDxfId="44"/>
    <tableColumn id="5" xr3:uid="{F6B764CA-94C3-4975-931E-7B60C05E89ED}" name="PRODUCT GROUP" dataDxfId="43"/>
    <tableColumn id="6" xr3:uid="{9306D301-B734-4B33-AF9A-D5B654DEB736}" name="DESCRIPTION" dataDxfId="42"/>
    <tableColumn id="7" xr3:uid="{2083CFED-262F-452E-8CDC-D2D2299512D6}" name="STATUS" dataDxfId="41"/>
    <tableColumn id="8" xr3:uid="{1EF0E0BD-F0B6-4DD2-AFB8-5E56E071B892}" name="STATUS REASON" dataDxfId="40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9AA339-AFF8-43BF-BB8B-3896EFDBFC20}" name="Table1347" displayName="Table1347" ref="A1:H2" totalsRowShown="0">
  <autoFilter ref="A1:H2" xr:uid="{179AA339-AFF8-43BF-BB8B-3896EFDBFC20}"/>
  <tableColumns count="8">
    <tableColumn id="1" xr3:uid="{1B375E7F-B9D5-4263-AE77-40C6E9517BA3}" name="DATE" dataDxfId="39"/>
    <tableColumn id="2" xr3:uid="{359383E2-EB48-4FAC-A5C1-403B47333E1A}" name="CONTACT TYPE" dataDxfId="38"/>
    <tableColumn id="3" xr3:uid="{2B822320-6598-488F-A2C5-6850CBD37FCF}" name="CASE #" dataDxfId="37"/>
    <tableColumn id="4" xr3:uid="{D4FD3026-457A-4EB6-B01B-7C6063F44D25}" name="MAIN ISSUE" dataDxfId="36"/>
    <tableColumn id="5" xr3:uid="{552100A9-5A82-47FB-BC68-2357D2F9333F}" name="PRODUCT GROUP" dataDxfId="35"/>
    <tableColumn id="6" xr3:uid="{02F93346-2593-4EFE-998C-E16C6966E06E}" name="DESCRIPTION" dataDxfId="34"/>
    <tableColumn id="7" xr3:uid="{7EDDD185-F639-4656-8C71-041B43E0AB9A}" name="STATUS" dataDxfId="33"/>
    <tableColumn id="8" xr3:uid="{59E05468-D2A4-4ACD-AAE2-9506E091FB35}" name="STATUS REASON" dataDxfId="32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4692630-FDF3-4DD1-A616-B403C9A86BB3}" name="Table1348" displayName="Table1348" ref="A1:H2" totalsRowShown="0">
  <autoFilter ref="A1:H2" xr:uid="{14692630-FDF3-4DD1-A616-B403C9A86BB3}"/>
  <tableColumns count="8">
    <tableColumn id="1" xr3:uid="{EA647044-311B-4D21-8722-29E4195F4619}" name="DATE" dataDxfId="31"/>
    <tableColumn id="2" xr3:uid="{C1829A92-7B1B-4DA7-91E3-B4296A2042E0}" name="CONTACT TYPE" dataDxfId="30"/>
    <tableColumn id="3" xr3:uid="{860805EA-701C-4324-BBF5-390A4555A083}" name="CASE #" dataDxfId="29"/>
    <tableColumn id="4" xr3:uid="{1DEE57A7-98D6-45F3-B10C-E6D6E68ABB34}" name="MAIN ISSUE" dataDxfId="28"/>
    <tableColumn id="5" xr3:uid="{9747090F-4600-4DA2-B444-D6423EB4696F}" name="PRODUCT GROUP" dataDxfId="27"/>
    <tableColumn id="6" xr3:uid="{FEA2DD41-6A8A-4509-A1EF-830CEB03F3D8}" name="DESCRIPTION" dataDxfId="26"/>
    <tableColumn id="7" xr3:uid="{91B46801-0550-42FE-9B3A-D2D61F38388F}" name="STATUS" dataDxfId="25"/>
    <tableColumn id="8" xr3:uid="{6CAAAB1B-CDF1-43E4-A1AD-EB6BB6E402D5}" name="STATUS REASON" dataDxfId="24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556DDE5-EBA5-4D18-A647-832D722B3D38}" name="Table1349" displayName="Table1349" ref="A1:H2" totalsRowShown="0">
  <autoFilter ref="A1:H2" xr:uid="{8556DDE5-EBA5-4D18-A647-832D722B3D38}"/>
  <tableColumns count="8">
    <tableColumn id="1" xr3:uid="{FC45E806-9936-42DB-8591-CABD5BEF223F}" name="DATE" dataDxfId="23"/>
    <tableColumn id="2" xr3:uid="{49BD7FFA-6D06-4808-B22A-0DD336487270}" name="CONTACT TYPE" dataDxfId="22"/>
    <tableColumn id="3" xr3:uid="{DD7209B0-486E-4688-99B1-5810E5A1A4D4}" name="CASE #" dataDxfId="21"/>
    <tableColumn id="4" xr3:uid="{E54C5271-8CD0-4934-AC1B-70C84D4F3BED}" name="MAIN ISSUE" dataDxfId="20"/>
    <tableColumn id="5" xr3:uid="{F9B3E77A-D1E0-42EE-8E25-233C82B98DB2}" name="PRODUCT GROUP" dataDxfId="19"/>
    <tableColumn id="6" xr3:uid="{6FABC31B-11FB-4785-9C9C-F319B4520706}" name="DESCRIPTION" dataDxfId="18"/>
    <tableColumn id="7" xr3:uid="{770CB712-AF24-485A-BDAE-524FA2666D4E}" name="STATUS" dataDxfId="17"/>
    <tableColumn id="8" xr3:uid="{18D826BB-7CAD-4B3D-8399-D31716F43865}" name="STATUS REASON" dataDxfId="16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DFF16C7-56B1-497E-A9A4-86C0BA93AEDC}" name="Table13410" displayName="Table13410" ref="A1:H2" totalsRowShown="0">
  <autoFilter ref="A1:H2" xr:uid="{3DFF16C7-56B1-497E-A9A4-86C0BA93AEDC}"/>
  <tableColumns count="8">
    <tableColumn id="1" xr3:uid="{9FB7239E-C3C9-42D9-BB64-845B29320725}" name="DATE" dataDxfId="15"/>
    <tableColumn id="2" xr3:uid="{4E5490AF-6AA4-4AE3-93C4-42DC7943A0F2}" name="CONTACT TYPE" dataDxfId="14"/>
    <tableColumn id="3" xr3:uid="{0C50D7CA-328D-4BB3-AA80-3CD88AC67376}" name="CASE #" dataDxfId="13"/>
    <tableColumn id="4" xr3:uid="{1FFF42DA-8061-4478-9627-0B81E7458854}" name="MAIN ISSUE" dataDxfId="12"/>
    <tableColumn id="5" xr3:uid="{887CCE87-86CE-47E5-8C0E-35E35216F220}" name="PRODUCT GROUP" dataDxfId="11"/>
    <tableColumn id="6" xr3:uid="{D6654BB3-94DC-49AE-9D82-F80C1346F374}" name="DESCRIPTION" dataDxfId="10"/>
    <tableColumn id="7" xr3:uid="{C90686DF-3C6E-4075-805C-44F14FBF42ED}" name="STATUS" dataDxfId="9"/>
    <tableColumn id="8" xr3:uid="{C77FF20D-5880-48AD-B085-E4A72A59A0C0}" name="STATUS REASON" dataDxfId="8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F73A6C1-BB96-4A42-8CDB-03F4FCE5F746}" name="Table13411" displayName="Table13411" ref="A1:H2" totalsRowShown="0">
  <autoFilter ref="A1:H2" xr:uid="{DF73A6C1-BB96-4A42-8CDB-03F4FCE5F746}"/>
  <tableColumns count="8">
    <tableColumn id="1" xr3:uid="{F0FB70AC-EB6E-42F5-845A-45A02ABFF872}" name="DATE" dataDxfId="7"/>
    <tableColumn id="2" xr3:uid="{7B86CEBF-3A20-4CC2-BD8D-573679F0B61A}" name="CONTACT TYPE" dataDxfId="6"/>
    <tableColumn id="3" xr3:uid="{555EC528-8102-4FED-A2DF-C63091BDDA86}" name="CASE #" dataDxfId="5"/>
    <tableColumn id="4" xr3:uid="{B6D63657-5EFB-412B-8ABC-91386AD59FFC}" name="MAIN ISSUE" dataDxfId="4"/>
    <tableColumn id="5" xr3:uid="{27223F5F-653A-4C1A-AB03-5F0DD94AFC89}" name="PRODUCT GROUP" dataDxfId="3"/>
    <tableColumn id="6" xr3:uid="{3EE37309-0F65-42CC-821E-5794C83F4FA8}" name="DESCRIPTION" dataDxfId="2"/>
    <tableColumn id="7" xr3:uid="{14D57021-7046-44F6-8B0C-951AA399B80D}" name="STATUS" dataDxfId="1"/>
    <tableColumn id="8" xr3:uid="{FC823BD7-EE64-4C6A-B881-E81E988842B0}" name="STATUS REASO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06410-765E-414D-BDF5-4E7B2310DE91}">
  <sheetPr>
    <tabColor rgb="FF0070C0"/>
  </sheetPr>
  <dimension ref="A1:Q18"/>
  <sheetViews>
    <sheetView workbookViewId="0">
      <selection activeCell="D9" sqref="D9"/>
    </sheetView>
  </sheetViews>
  <sheetFormatPr defaultColWidth="0" defaultRowHeight="14.45"/>
  <cols>
    <col min="1" max="1" width="8.7109375" style="2" customWidth="1"/>
    <col min="2" max="2" width="8.85546875" style="2" customWidth="1"/>
    <col min="3" max="3" width="20" style="2" bestFit="1" customWidth="1"/>
    <col min="4" max="4" width="22" style="2" bestFit="1" customWidth="1"/>
    <col min="5" max="5" width="10.140625" style="2" customWidth="1"/>
    <col min="6" max="6" width="9.28515625" style="2" customWidth="1"/>
    <col min="7" max="7" width="10.140625" style="2" customWidth="1"/>
    <col min="8" max="9" width="8.7109375" style="2" customWidth="1"/>
    <col min="10" max="17" width="0" hidden="1" customWidth="1"/>
    <col min="18" max="16384" width="8.7109375" hidden="1"/>
  </cols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15">
      <c r="A2" s="3"/>
      <c r="B2" s="2" t="str">
        <f>IF(Table11[[#This Row],[Name]]&lt;&gt;"","Jeff Bote","")</f>
        <v/>
      </c>
      <c r="D2" s="2" t="str">
        <f>IF(Table11[[#This Row],[Name]]&lt;&gt;"","06:00 PM - 03:00 AM PHT","")</f>
        <v/>
      </c>
    </row>
    <row r="3" spans="1:9">
      <c r="A3" s="4"/>
    </row>
    <row r="4" spans="1:9">
      <c r="A4" s="3"/>
    </row>
    <row r="5" spans="1:9">
      <c r="A5" s="4"/>
    </row>
    <row r="6" spans="1:9">
      <c r="A6" s="3"/>
    </row>
    <row r="7" spans="1:9">
      <c r="A7" s="4"/>
    </row>
    <row r="8" spans="1:9">
      <c r="A8" s="3"/>
    </row>
    <row r="9" spans="1:9">
      <c r="A9" s="4"/>
    </row>
    <row r="10" spans="1:9">
      <c r="A10" s="3"/>
    </row>
    <row r="11" spans="1:9">
      <c r="A11" s="4"/>
    </row>
    <row r="12" spans="1:9">
      <c r="A12" s="3"/>
    </row>
    <row r="13" spans="1:9">
      <c r="A13" s="4"/>
    </row>
    <row r="14" spans="1:9">
      <c r="A14" s="3"/>
    </row>
    <row r="15" spans="1:9">
      <c r="A15" s="4"/>
    </row>
    <row r="16" spans="1:9">
      <c r="A16" s="3"/>
    </row>
    <row r="17" spans="1:1">
      <c r="A17" s="4"/>
    </row>
    <row r="18" spans="1:1">
      <c r="A18" s="3"/>
    </row>
  </sheetData>
  <sheetProtection sheet="1" objects="1" scenarios="1" autoFilter="0"/>
  <protectedRanges>
    <protectedRange sqref="A1:A1048576 C1:C1048576 E1:I1048576" name="Range1"/>
  </protectedRanges>
  <dataValidations count="1">
    <dataValidation type="list" allowBlank="1" showInputMessage="1" showErrorMessage="1" sqref="C2:C1048576" xr:uid="{AEFE2004-3BC8-452F-A7C3-E662EF913957}">
      <formula1>"Andre John Castor, Arianne May Escabillas, Denmark Navarro, Ian Christian Derez, Jane Paula Manlangit, Jasmin Gonzales, John Linnel Adagao, June John Cruz, Leo Renz Calizo, Marinelle Espinosa, May Ann Ramirez,"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1"/>
  <sheetViews>
    <sheetView tabSelected="1" workbookViewId="0">
      <pane ySplit="1" topLeftCell="A2" activePane="bottomLeft" state="frozen"/>
      <selection pane="bottomLeft" activeCell="E2" sqref="E2:E21"/>
    </sheetView>
  </sheetViews>
  <sheetFormatPr defaultColWidth="0" defaultRowHeight="14.45"/>
  <cols>
    <col min="1" max="1" width="10.42578125" style="1" bestFit="1" customWidth="1"/>
    <col min="2" max="2" width="17" style="2" bestFit="1" customWidth="1"/>
    <col min="3" max="3" width="12" style="2" bestFit="1" customWidth="1"/>
    <col min="4" max="4" width="14.140625" style="2" bestFit="1" customWidth="1"/>
    <col min="5" max="5" width="29.42578125" style="2" bestFit="1" customWidth="1"/>
    <col min="6" max="6" width="15.5703125" style="2" bestFit="1" customWidth="1"/>
    <col min="7" max="7" width="10.28515625" style="2" bestFit="1" customWidth="1"/>
    <col min="8" max="8" width="18.28515625" style="2" bestFit="1" customWidth="1"/>
    <col min="9" max="16384" width="8.7109375" hidden="1"/>
  </cols>
  <sheetData>
    <row r="1" spans="1:8">
      <c r="A1" s="1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>
      <c r="B2" s="2" t="s">
        <v>17</v>
      </c>
      <c r="C2" s="2">
        <v>5403983788</v>
      </c>
      <c r="E2" s="2" t="s">
        <v>18</v>
      </c>
    </row>
    <row r="3" spans="1:8">
      <c r="B3" s="2" t="s">
        <v>17</v>
      </c>
      <c r="C3" s="2">
        <v>5403986954</v>
      </c>
      <c r="E3" s="2" t="s">
        <v>19</v>
      </c>
    </row>
    <row r="4" spans="1:8">
      <c r="B4" s="2" t="s">
        <v>17</v>
      </c>
      <c r="C4" s="2">
        <v>5403748263</v>
      </c>
      <c r="E4" s="2" t="s">
        <v>20</v>
      </c>
    </row>
    <row r="5" spans="1:8">
      <c r="B5" s="2" t="s">
        <v>17</v>
      </c>
      <c r="C5" s="2">
        <v>5404005212</v>
      </c>
      <c r="E5" s="2" t="s">
        <v>21</v>
      </c>
    </row>
    <row r="6" spans="1:8">
      <c r="B6" s="2" t="s">
        <v>17</v>
      </c>
      <c r="C6" s="2">
        <v>5404005326</v>
      </c>
      <c r="E6" s="2" t="s">
        <v>20</v>
      </c>
    </row>
    <row r="7" spans="1:8">
      <c r="B7" s="2" t="s">
        <v>17</v>
      </c>
      <c r="C7" s="2">
        <v>5404007713</v>
      </c>
      <c r="E7" s="2" t="s">
        <v>22</v>
      </c>
    </row>
    <row r="8" spans="1:8">
      <c r="B8" s="2" t="s">
        <v>17</v>
      </c>
      <c r="C8" s="2">
        <v>5404008002</v>
      </c>
      <c r="E8" s="2" t="s">
        <v>21</v>
      </c>
    </row>
    <row r="9" spans="1:8">
      <c r="B9" s="2" t="s">
        <v>17</v>
      </c>
      <c r="C9" s="2">
        <v>5404028027</v>
      </c>
      <c r="E9" s="2" t="s">
        <v>20</v>
      </c>
    </row>
    <row r="10" spans="1:8">
      <c r="B10" s="2" t="s">
        <v>17</v>
      </c>
      <c r="C10" s="2">
        <v>5404028118</v>
      </c>
      <c r="E10" s="2" t="s">
        <v>19</v>
      </c>
    </row>
    <row r="11" spans="1:8">
      <c r="B11" s="2" t="s">
        <v>17</v>
      </c>
      <c r="C11" s="2">
        <v>5404025206</v>
      </c>
      <c r="E11" s="2" t="s">
        <v>23</v>
      </c>
    </row>
    <row r="12" spans="1:8">
      <c r="B12" s="2" t="s">
        <v>17</v>
      </c>
      <c r="C12" s="2">
        <v>5404018293</v>
      </c>
      <c r="E12" s="2" t="s">
        <v>24</v>
      </c>
    </row>
    <row r="13" spans="1:8">
      <c r="B13" s="2" t="s">
        <v>17</v>
      </c>
      <c r="C13" s="2">
        <v>5403953282</v>
      </c>
      <c r="E13" s="2" t="s">
        <v>18</v>
      </c>
    </row>
    <row r="14" spans="1:8">
      <c r="B14" s="2" t="s">
        <v>17</v>
      </c>
      <c r="C14" s="2">
        <v>5404028583</v>
      </c>
      <c r="E14" s="2" t="s">
        <v>19</v>
      </c>
    </row>
    <row r="15" spans="1:8">
      <c r="B15" s="2" t="s">
        <v>17</v>
      </c>
      <c r="C15" s="2">
        <v>5404029168</v>
      </c>
      <c r="E15" s="2" t="s">
        <v>25</v>
      </c>
    </row>
    <row r="16" spans="1:8">
      <c r="B16" s="2" t="s">
        <v>17</v>
      </c>
      <c r="C16" s="2">
        <v>5404029634</v>
      </c>
      <c r="E16" s="2" t="s">
        <v>19</v>
      </c>
    </row>
    <row r="17" spans="2:5">
      <c r="B17" s="2" t="s">
        <v>26</v>
      </c>
      <c r="C17" s="2">
        <v>5404002321</v>
      </c>
      <c r="E17" s="2" t="s">
        <v>27</v>
      </c>
    </row>
    <row r="18" spans="2:5">
      <c r="B18" s="2" t="s">
        <v>26</v>
      </c>
      <c r="C18" s="2">
        <v>5404003394</v>
      </c>
      <c r="E18" s="2" t="s">
        <v>27</v>
      </c>
    </row>
    <row r="19" spans="2:5">
      <c r="B19" s="2" t="s">
        <v>26</v>
      </c>
      <c r="C19" s="2">
        <v>5404003592</v>
      </c>
      <c r="E19" s="2" t="s">
        <v>28</v>
      </c>
    </row>
    <row r="20" spans="2:5">
      <c r="B20" s="2" t="s">
        <v>26</v>
      </c>
      <c r="C20" s="2">
        <v>5404003602</v>
      </c>
      <c r="E20" s="2" t="s">
        <v>18</v>
      </c>
    </row>
    <row r="21" spans="2:5">
      <c r="B21" s="2" t="s">
        <v>26</v>
      </c>
      <c r="C21" s="2">
        <v>5404003402</v>
      </c>
      <c r="E21" s="2" t="s">
        <v>21</v>
      </c>
    </row>
  </sheetData>
  <dataValidations count="3">
    <dataValidation type="list" allowBlank="1" showInputMessage="1" showErrorMessage="1" sqref="B2:B21" xr:uid="{D3DDD9DD-3E27-4685-BAA6-DBA17CEF2F66}">
      <formula1>"CALL,CHAT,MFQ"</formula1>
    </dataValidation>
    <dataValidation type="list" allowBlank="1" showInputMessage="1" showErrorMessage="1" sqref="D2:D21" xr:uid="{81E96AD5-085A-42A3-9240-2875AFF08E40}">
      <formula1>"TROUBLESHOOTING,RMA,LICENSING.MISROUTED/DISCONNECTED,OUT OF SCOPE"</formula1>
    </dataValidation>
    <dataValidation type="list" allowBlank="1" showInputMessage="1" showErrorMessage="1" sqref="G2:G21" xr:uid="{E255983F-AD4D-4571-8173-DC2F169F3AF9}">
      <formula1>"ACTIVE,PENDING,MONITORING,ROUTED,CLOSED"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C1BB-F427-428E-8C1B-F8FA7595396E}">
  <sheetPr codeName="Sheet2"/>
  <dimension ref="A1:H81"/>
  <sheetViews>
    <sheetView workbookViewId="0">
      <pane ySplit="1" topLeftCell="A66" activePane="bottomLeft" state="frozen"/>
      <selection pane="bottomLeft" activeCell="E59" sqref="E59"/>
      <selection activeCell="C1" sqref="C1"/>
    </sheetView>
  </sheetViews>
  <sheetFormatPr defaultColWidth="0" defaultRowHeight="14.45"/>
  <cols>
    <col min="1" max="1" width="10.42578125" bestFit="1" customWidth="1"/>
    <col min="2" max="2" width="18" bestFit="1" customWidth="1"/>
    <col min="3" max="3" width="11" bestFit="1" customWidth="1"/>
    <col min="4" max="4" width="15.140625" bestFit="1" customWidth="1"/>
    <col min="5" max="5" width="31.7109375" bestFit="1" customWidth="1"/>
    <col min="6" max="6" width="16.5703125" bestFit="1" customWidth="1"/>
    <col min="7" max="7" width="11.5703125" bestFit="1" customWidth="1"/>
    <col min="8" max="8" width="19" bestFit="1" customWidth="1"/>
    <col min="9" max="16384" width="8.7109375" hidden="1"/>
  </cols>
  <sheetData>
    <row r="1" spans="1:8">
      <c r="A1" s="1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>
      <c r="A2" s="1">
        <v>46219</v>
      </c>
      <c r="B2" s="2" t="s">
        <v>17</v>
      </c>
      <c r="C2" s="2">
        <v>5403984921</v>
      </c>
      <c r="D2" s="2"/>
      <c r="E2" s="2" t="s">
        <v>29</v>
      </c>
      <c r="F2" s="2"/>
      <c r="G2" s="2"/>
      <c r="H2" s="2"/>
    </row>
    <row r="3" spans="1:8" ht="15">
      <c r="A3" s="1">
        <v>46219</v>
      </c>
      <c r="B3" s="2" t="s">
        <v>17</v>
      </c>
      <c r="C3" s="2">
        <v>5403984161</v>
      </c>
      <c r="D3" s="2"/>
      <c r="E3" s="2" t="s">
        <v>29</v>
      </c>
      <c r="F3" s="2"/>
      <c r="G3" s="2"/>
      <c r="H3" s="2"/>
    </row>
    <row r="4" spans="1:8" ht="15">
      <c r="A4" s="1">
        <v>46219</v>
      </c>
      <c r="B4" s="2" t="s">
        <v>17</v>
      </c>
      <c r="C4" s="2">
        <v>5403984581</v>
      </c>
      <c r="D4" s="2"/>
      <c r="E4" s="2" t="s">
        <v>30</v>
      </c>
      <c r="F4" s="2"/>
      <c r="G4" s="2"/>
      <c r="H4" s="2"/>
    </row>
    <row r="5" spans="1:8" ht="15">
      <c r="A5" s="1">
        <v>46219</v>
      </c>
      <c r="B5" s="2" t="s">
        <v>17</v>
      </c>
      <c r="C5" s="2">
        <v>5403986591</v>
      </c>
      <c r="D5" s="2"/>
      <c r="E5" s="2" t="s">
        <v>27</v>
      </c>
      <c r="F5" s="2"/>
      <c r="G5" s="2"/>
      <c r="H5" s="2"/>
    </row>
    <row r="6" spans="1:8" ht="15">
      <c r="A6" s="1">
        <v>46219</v>
      </c>
      <c r="B6" s="2" t="s">
        <v>17</v>
      </c>
      <c r="C6" s="2">
        <v>5403987158</v>
      </c>
      <c r="D6" s="2"/>
      <c r="E6" s="2" t="s">
        <v>31</v>
      </c>
      <c r="F6" s="2"/>
      <c r="G6" s="2"/>
      <c r="H6" s="2"/>
    </row>
    <row r="7" spans="1:8" ht="15">
      <c r="A7" s="1">
        <v>46219</v>
      </c>
      <c r="B7" s="2" t="s">
        <v>17</v>
      </c>
      <c r="C7" s="2">
        <v>5403989237</v>
      </c>
      <c r="D7" s="2"/>
      <c r="E7" s="2" t="s">
        <v>29</v>
      </c>
      <c r="F7" s="2"/>
      <c r="G7" s="2"/>
      <c r="H7" s="2"/>
    </row>
    <row r="8" spans="1:8" ht="15">
      <c r="A8" s="1">
        <v>46219</v>
      </c>
      <c r="B8" s="2" t="s">
        <v>17</v>
      </c>
      <c r="C8" s="2">
        <v>5403989361</v>
      </c>
      <c r="D8" s="2"/>
      <c r="E8" s="2" t="s">
        <v>29</v>
      </c>
      <c r="F8" s="2"/>
      <c r="G8" s="2"/>
      <c r="H8" s="2"/>
    </row>
    <row r="9" spans="1:8" ht="15">
      <c r="A9" s="1">
        <v>46219</v>
      </c>
      <c r="B9" s="2" t="s">
        <v>17</v>
      </c>
      <c r="C9" s="2">
        <v>5403989994</v>
      </c>
      <c r="D9" s="2"/>
      <c r="E9" s="2" t="s">
        <v>23</v>
      </c>
      <c r="F9" s="2"/>
      <c r="G9" s="2"/>
      <c r="H9" s="2"/>
    </row>
    <row r="10" spans="1:8" ht="15">
      <c r="A10" s="1">
        <v>46219</v>
      </c>
      <c r="B10" s="2" t="s">
        <v>17</v>
      </c>
      <c r="C10" s="2">
        <v>5403988197</v>
      </c>
      <c r="D10" s="2"/>
      <c r="E10" s="2" t="s">
        <v>27</v>
      </c>
      <c r="F10" s="2"/>
      <c r="G10" s="2"/>
      <c r="H10" s="2"/>
    </row>
    <row r="11" spans="1:8" ht="15">
      <c r="A11" s="1">
        <v>46219</v>
      </c>
      <c r="B11" s="2" t="s">
        <v>17</v>
      </c>
      <c r="C11" s="2">
        <v>5403990798</v>
      </c>
      <c r="D11" s="2"/>
      <c r="E11" s="2" t="s">
        <v>23</v>
      </c>
      <c r="F11" s="2"/>
      <c r="G11" s="2"/>
      <c r="H11" s="2"/>
    </row>
    <row r="12" spans="1:8" ht="15">
      <c r="A12" s="1">
        <v>46220</v>
      </c>
      <c r="B12" s="2" t="s">
        <v>26</v>
      </c>
      <c r="C12" s="2">
        <v>5404003662</v>
      </c>
      <c r="D12" s="2"/>
      <c r="E12" s="2" t="s">
        <v>32</v>
      </c>
      <c r="F12" s="2"/>
      <c r="G12" s="2"/>
      <c r="H12" s="2"/>
    </row>
    <row r="13" spans="1:8" ht="15">
      <c r="A13" s="1">
        <v>46220</v>
      </c>
      <c r="B13" s="2" t="s">
        <v>26</v>
      </c>
      <c r="C13" s="2">
        <v>5404003781</v>
      </c>
      <c r="D13" s="2"/>
      <c r="E13" s="2" t="s">
        <v>31</v>
      </c>
      <c r="F13" s="2"/>
      <c r="G13" s="2"/>
      <c r="H13" s="2"/>
    </row>
    <row r="14" spans="1:8" ht="15">
      <c r="A14" s="1">
        <v>46220</v>
      </c>
      <c r="B14" s="2" t="s">
        <v>26</v>
      </c>
      <c r="C14" s="2">
        <v>5404003646</v>
      </c>
      <c r="D14" s="2"/>
      <c r="E14" s="2" t="s">
        <v>31</v>
      </c>
      <c r="F14" s="2"/>
      <c r="G14" s="2"/>
      <c r="H14" s="2"/>
    </row>
    <row r="15" spans="1:8" ht="15">
      <c r="A15" s="1">
        <v>46220</v>
      </c>
      <c r="B15" s="2" t="s">
        <v>26</v>
      </c>
      <c r="C15" s="2">
        <v>5404003469</v>
      </c>
      <c r="D15" s="2"/>
      <c r="E15" s="2" t="s">
        <v>32</v>
      </c>
      <c r="F15" s="2"/>
      <c r="G15" s="2"/>
      <c r="H15" s="2"/>
    </row>
    <row r="16" spans="1:8" ht="15">
      <c r="A16" s="1">
        <v>46220</v>
      </c>
      <c r="B16" s="2" t="s">
        <v>26</v>
      </c>
      <c r="C16" s="2">
        <v>5404000703</v>
      </c>
      <c r="D16" s="2"/>
      <c r="E16" s="2" t="s">
        <v>32</v>
      </c>
      <c r="F16" s="2"/>
      <c r="G16" s="2"/>
      <c r="H16" s="2"/>
    </row>
    <row r="17" spans="1:8" ht="15">
      <c r="A17" s="1">
        <v>46220</v>
      </c>
      <c r="B17" s="2" t="s">
        <v>26</v>
      </c>
      <c r="C17" s="2">
        <v>5404006050</v>
      </c>
      <c r="D17" s="2"/>
      <c r="E17" s="2" t="s">
        <v>32</v>
      </c>
      <c r="F17" s="2"/>
      <c r="G17" s="2"/>
      <c r="H17" s="2"/>
    </row>
    <row r="18" spans="1:8" ht="15">
      <c r="A18" s="1">
        <v>46220</v>
      </c>
      <c r="B18" s="2" t="s">
        <v>26</v>
      </c>
      <c r="C18" s="2">
        <v>5404006065</v>
      </c>
      <c r="D18" s="2"/>
      <c r="E18" s="2" t="s">
        <v>31</v>
      </c>
      <c r="F18" s="2"/>
      <c r="G18" s="2"/>
      <c r="H18" s="2"/>
    </row>
    <row r="19" spans="1:8" ht="15">
      <c r="A19" s="1">
        <v>46220</v>
      </c>
      <c r="B19" s="2" t="s">
        <v>26</v>
      </c>
      <c r="C19" s="2">
        <v>5404005541</v>
      </c>
      <c r="D19" s="2"/>
      <c r="E19" s="2" t="s">
        <v>32</v>
      </c>
      <c r="F19" s="2"/>
      <c r="G19" s="2"/>
      <c r="H19" s="2"/>
    </row>
    <row r="20" spans="1:8" ht="15">
      <c r="A20" s="1">
        <v>46220</v>
      </c>
      <c r="B20" s="2" t="s">
        <v>26</v>
      </c>
      <c r="C20" s="2">
        <v>5404005793</v>
      </c>
      <c r="D20" s="2"/>
      <c r="E20" s="2" t="s">
        <v>31</v>
      </c>
      <c r="F20" s="2"/>
      <c r="G20" s="2"/>
      <c r="H20" s="2"/>
    </row>
    <row r="21" spans="1:8" ht="15">
      <c r="A21" s="1">
        <v>46220</v>
      </c>
      <c r="B21" s="2" t="s">
        <v>26</v>
      </c>
      <c r="C21" s="2">
        <v>5404005848</v>
      </c>
      <c r="D21" s="2"/>
      <c r="E21" s="2" t="s">
        <v>32</v>
      </c>
      <c r="F21" s="2"/>
      <c r="G21" s="2"/>
      <c r="H21" s="2"/>
    </row>
    <row r="22" spans="1:8" ht="15">
      <c r="A22" s="1">
        <v>46220</v>
      </c>
      <c r="B22" s="2" t="s">
        <v>26</v>
      </c>
      <c r="C22" s="2">
        <v>5404007402</v>
      </c>
      <c r="D22" s="2"/>
      <c r="E22" s="2" t="s">
        <v>21</v>
      </c>
      <c r="F22" s="2"/>
      <c r="G22" s="2"/>
      <c r="H22" s="2"/>
    </row>
    <row r="23" spans="1:8" ht="15">
      <c r="A23" s="1">
        <v>46220</v>
      </c>
      <c r="B23" s="2" t="s">
        <v>26</v>
      </c>
      <c r="C23" s="2">
        <v>5404008191</v>
      </c>
      <c r="D23" s="2"/>
      <c r="E23" s="2" t="s">
        <v>19</v>
      </c>
      <c r="F23" s="2"/>
      <c r="G23" s="2"/>
      <c r="H23" s="2"/>
    </row>
    <row r="24" spans="1:8" ht="15">
      <c r="A24" s="1">
        <v>46220</v>
      </c>
      <c r="B24" s="2" t="s">
        <v>26</v>
      </c>
      <c r="C24" s="2">
        <v>5404008256</v>
      </c>
      <c r="D24" s="2"/>
      <c r="E24" s="2" t="s">
        <v>20</v>
      </c>
      <c r="F24" s="2"/>
      <c r="G24" s="2"/>
      <c r="H24" s="2"/>
    </row>
    <row r="25" spans="1:8" ht="15">
      <c r="A25" s="1">
        <v>46220</v>
      </c>
      <c r="B25" s="2" t="s">
        <v>26</v>
      </c>
      <c r="C25" s="2">
        <v>5404008369</v>
      </c>
      <c r="D25" s="2"/>
      <c r="E25" s="2" t="s">
        <v>31</v>
      </c>
      <c r="F25" s="2"/>
      <c r="G25" s="2"/>
      <c r="H25" s="2"/>
    </row>
    <row r="26" spans="1:8" ht="15">
      <c r="A26" s="1">
        <v>46220</v>
      </c>
      <c r="B26" s="2" t="s">
        <v>26</v>
      </c>
      <c r="C26" s="2">
        <v>5404008378</v>
      </c>
      <c r="D26" s="2"/>
      <c r="E26" s="2" t="s">
        <v>20</v>
      </c>
      <c r="F26" s="2"/>
      <c r="G26" s="2"/>
      <c r="H26" s="2"/>
    </row>
    <row r="27" spans="1:8" ht="15">
      <c r="A27" s="1">
        <v>46223</v>
      </c>
      <c r="B27" s="2" t="s">
        <v>17</v>
      </c>
      <c r="C27" s="2">
        <v>5404022419</v>
      </c>
      <c r="D27" s="2"/>
      <c r="E27" s="2" t="s">
        <v>32</v>
      </c>
      <c r="F27" s="2"/>
      <c r="G27" s="2"/>
      <c r="H27" s="2"/>
    </row>
    <row r="28" spans="1:8" ht="15">
      <c r="A28" s="1">
        <v>46223</v>
      </c>
      <c r="B28" s="2" t="s">
        <v>17</v>
      </c>
      <c r="C28" s="2">
        <v>5404029276</v>
      </c>
      <c r="D28" s="2"/>
      <c r="E28" s="2" t="s">
        <v>27</v>
      </c>
      <c r="F28" s="2"/>
      <c r="G28" s="2"/>
      <c r="H28" s="2"/>
    </row>
    <row r="29" spans="1:8" ht="15">
      <c r="A29" s="1">
        <v>46223</v>
      </c>
      <c r="B29" s="2" t="s">
        <v>17</v>
      </c>
      <c r="C29" s="2">
        <v>5404030100</v>
      </c>
      <c r="D29" s="2"/>
      <c r="E29" s="2" t="s">
        <v>33</v>
      </c>
      <c r="F29" s="2"/>
      <c r="G29" s="2"/>
      <c r="H29" s="2"/>
    </row>
    <row r="30" spans="1:8" ht="15">
      <c r="A30" s="1">
        <v>46223</v>
      </c>
      <c r="B30" s="2" t="s">
        <v>17</v>
      </c>
      <c r="C30" s="2">
        <v>5404032862</v>
      </c>
      <c r="D30" s="2"/>
      <c r="E30" s="2" t="s">
        <v>25</v>
      </c>
      <c r="F30" s="2"/>
      <c r="G30" s="2"/>
      <c r="H30" s="2"/>
    </row>
    <row r="31" spans="1:8" ht="15">
      <c r="A31" s="1">
        <v>46223</v>
      </c>
      <c r="B31" s="2" t="s">
        <v>17</v>
      </c>
      <c r="C31" s="2">
        <v>5404032528</v>
      </c>
      <c r="D31" s="2"/>
      <c r="E31" s="2" t="s">
        <v>25</v>
      </c>
      <c r="F31" s="2"/>
      <c r="G31" s="2"/>
      <c r="H31" s="2"/>
    </row>
    <row r="32" spans="1:8" ht="15">
      <c r="A32" s="1">
        <v>46223</v>
      </c>
      <c r="B32" s="2" t="s">
        <v>17</v>
      </c>
      <c r="C32" s="2">
        <v>5404032862</v>
      </c>
      <c r="D32" s="2"/>
      <c r="E32" s="2" t="s">
        <v>25</v>
      </c>
      <c r="F32" s="2"/>
      <c r="G32" s="2"/>
      <c r="H32" s="2"/>
    </row>
    <row r="33" spans="1:8" ht="15">
      <c r="A33" s="1">
        <v>46223</v>
      </c>
      <c r="B33" s="2" t="s">
        <v>17</v>
      </c>
      <c r="C33" s="2">
        <v>5404035060</v>
      </c>
      <c r="D33" s="2"/>
      <c r="E33" s="2" t="s">
        <v>23</v>
      </c>
      <c r="F33" s="2"/>
      <c r="G33" s="2"/>
      <c r="H33" s="2"/>
    </row>
    <row r="34" spans="1:8" ht="15">
      <c r="A34" s="1">
        <v>46223</v>
      </c>
      <c r="B34" s="2" t="s">
        <v>17</v>
      </c>
      <c r="C34" s="2">
        <v>5404035376</v>
      </c>
      <c r="D34" s="2"/>
      <c r="E34" s="2" t="s">
        <v>24</v>
      </c>
      <c r="F34" s="2"/>
      <c r="G34" s="2"/>
      <c r="H34" s="2"/>
    </row>
    <row r="35" spans="1:8" ht="15">
      <c r="A35" s="1">
        <v>46223</v>
      </c>
      <c r="B35" s="2" t="s">
        <v>17</v>
      </c>
      <c r="C35" s="2">
        <v>5404035438</v>
      </c>
      <c r="D35" s="2"/>
      <c r="E35" s="2" t="s">
        <v>23</v>
      </c>
      <c r="F35" s="2"/>
      <c r="G35" s="2"/>
      <c r="H35" s="2"/>
    </row>
    <row r="36" spans="1:8" ht="15">
      <c r="A36" s="1">
        <v>46223</v>
      </c>
      <c r="B36" s="2" t="s">
        <v>17</v>
      </c>
      <c r="C36" s="2">
        <v>5404036386</v>
      </c>
      <c r="D36" s="2"/>
      <c r="E36" s="2" t="s">
        <v>18</v>
      </c>
      <c r="F36" s="2"/>
      <c r="G36" s="2"/>
      <c r="H36" s="2"/>
    </row>
    <row r="37" spans="1:8" ht="15">
      <c r="A37" s="1">
        <v>46223</v>
      </c>
      <c r="B37" s="2" t="s">
        <v>17</v>
      </c>
      <c r="C37" s="2">
        <v>5404035438</v>
      </c>
      <c r="D37" s="2"/>
      <c r="E37" s="2" t="s">
        <v>23</v>
      </c>
      <c r="F37" s="2"/>
      <c r="G37" s="2"/>
      <c r="H37" s="2"/>
    </row>
    <row r="38" spans="1:8" ht="15">
      <c r="A38" s="1">
        <v>46223</v>
      </c>
      <c r="B38" s="2" t="s">
        <v>17</v>
      </c>
      <c r="C38" s="2">
        <v>5404037804</v>
      </c>
      <c r="D38" s="2"/>
      <c r="E38" s="2" t="s">
        <v>29</v>
      </c>
      <c r="F38" s="2"/>
      <c r="G38" s="2"/>
      <c r="H38" s="2"/>
    </row>
    <row r="39" spans="1:8" ht="15">
      <c r="A39" s="1">
        <v>46223</v>
      </c>
      <c r="B39" s="2" t="s">
        <v>17</v>
      </c>
      <c r="C39" s="2">
        <v>5404038232</v>
      </c>
      <c r="D39" s="2"/>
      <c r="E39" s="2" t="s">
        <v>25</v>
      </c>
      <c r="F39" s="2"/>
      <c r="G39" s="2"/>
      <c r="H39" s="2"/>
    </row>
    <row r="40" spans="1:8" ht="15">
      <c r="A40" s="1">
        <v>46224</v>
      </c>
      <c r="B40" s="2" t="s">
        <v>26</v>
      </c>
      <c r="C40" s="2">
        <v>5404025206</v>
      </c>
      <c r="D40" s="2"/>
      <c r="E40" s="2" t="s">
        <v>23</v>
      </c>
      <c r="F40" s="2"/>
      <c r="G40" s="2"/>
      <c r="H40" s="2"/>
    </row>
    <row r="41" spans="1:8" ht="15">
      <c r="A41" s="1">
        <v>46224</v>
      </c>
      <c r="B41" s="2" t="s">
        <v>26</v>
      </c>
      <c r="C41" s="2">
        <v>5404054674</v>
      </c>
      <c r="D41" s="2"/>
      <c r="E41" s="2" t="s">
        <v>20</v>
      </c>
      <c r="F41" s="2"/>
      <c r="G41" s="2"/>
      <c r="H41" s="2"/>
    </row>
    <row r="42" spans="1:8" ht="15">
      <c r="A42" s="1">
        <v>46224</v>
      </c>
      <c r="B42" s="2" t="s">
        <v>26</v>
      </c>
      <c r="C42" s="2">
        <v>5404054457</v>
      </c>
      <c r="D42" s="2"/>
      <c r="E42" s="2" t="s">
        <v>18</v>
      </c>
      <c r="F42" s="2"/>
      <c r="G42" s="2"/>
      <c r="H42" s="2"/>
    </row>
    <row r="43" spans="1:8" ht="15">
      <c r="A43" s="1">
        <v>46224</v>
      </c>
      <c r="B43" s="2" t="s">
        <v>26</v>
      </c>
      <c r="C43" s="2">
        <v>5404053815</v>
      </c>
      <c r="D43" s="2"/>
      <c r="E43" s="2" t="s">
        <v>18</v>
      </c>
      <c r="F43" s="2"/>
      <c r="G43" s="2"/>
      <c r="H43" s="2"/>
    </row>
    <row r="44" spans="1:8" ht="15">
      <c r="A44" s="1">
        <v>46224</v>
      </c>
      <c r="B44" s="2" t="s">
        <v>26</v>
      </c>
      <c r="C44" s="2">
        <v>5404053920</v>
      </c>
      <c r="D44" s="2"/>
      <c r="E44" s="2" t="s">
        <v>18</v>
      </c>
      <c r="F44" s="2"/>
      <c r="G44" s="2"/>
      <c r="H44" s="2"/>
    </row>
    <row r="45" spans="1:8" ht="15">
      <c r="A45" s="1">
        <v>46224</v>
      </c>
      <c r="B45" s="2" t="s">
        <v>26</v>
      </c>
      <c r="C45" s="2">
        <v>5404056146</v>
      </c>
      <c r="D45" s="2"/>
      <c r="E45" s="2" t="s">
        <v>32</v>
      </c>
      <c r="F45" s="2"/>
      <c r="G45" s="2"/>
      <c r="H45" s="2"/>
    </row>
    <row r="46" spans="1:8" ht="15">
      <c r="A46" s="1">
        <v>46224</v>
      </c>
      <c r="B46" s="2" t="s">
        <v>26</v>
      </c>
      <c r="C46" s="2">
        <v>5404056223</v>
      </c>
      <c r="D46" s="2"/>
      <c r="E46" s="2" t="s">
        <v>18</v>
      </c>
      <c r="F46" s="2"/>
      <c r="G46" s="2"/>
      <c r="H46" s="2"/>
    </row>
    <row r="47" spans="1:8" ht="15">
      <c r="A47" s="1">
        <v>46224</v>
      </c>
      <c r="B47" s="2" t="s">
        <v>26</v>
      </c>
      <c r="C47" s="2">
        <v>5404056302</v>
      </c>
      <c r="D47" s="2"/>
      <c r="E47" s="2" t="s">
        <v>19</v>
      </c>
      <c r="F47" s="2"/>
      <c r="G47" s="2"/>
      <c r="H47" s="2"/>
    </row>
    <row r="48" spans="1:8" ht="15">
      <c r="A48" s="1">
        <v>46224</v>
      </c>
      <c r="B48" s="2" t="s">
        <v>26</v>
      </c>
      <c r="C48" s="2">
        <v>5404056328</v>
      </c>
      <c r="D48" s="2"/>
      <c r="E48" s="2" t="s">
        <v>18</v>
      </c>
      <c r="F48" s="2"/>
      <c r="G48" s="2"/>
      <c r="H48" s="2"/>
    </row>
    <row r="49" spans="1:8" ht="15">
      <c r="A49" s="1">
        <v>46224</v>
      </c>
      <c r="B49" s="2" t="s">
        <v>26</v>
      </c>
      <c r="C49" s="2">
        <v>5404071065</v>
      </c>
      <c r="D49" s="2"/>
      <c r="E49" s="2" t="s">
        <v>24</v>
      </c>
      <c r="F49" s="2"/>
      <c r="G49" s="2"/>
      <c r="H49" s="2"/>
    </row>
    <row r="50" spans="1:8" ht="15">
      <c r="A50" s="1">
        <v>46224</v>
      </c>
      <c r="B50" s="2" t="s">
        <v>26</v>
      </c>
      <c r="C50" s="2">
        <v>5404056371</v>
      </c>
      <c r="D50" s="2"/>
      <c r="E50" s="2" t="s">
        <v>18</v>
      </c>
      <c r="F50" s="2"/>
      <c r="G50" s="2"/>
      <c r="H50" s="2"/>
    </row>
    <row r="51" spans="1:8" ht="15">
      <c r="A51" s="1">
        <v>46224</v>
      </c>
      <c r="B51" s="2" t="s">
        <v>26</v>
      </c>
      <c r="C51" s="2">
        <v>5404061368</v>
      </c>
      <c r="D51" s="2"/>
      <c r="E51" s="2" t="s">
        <v>23</v>
      </c>
      <c r="F51" s="2"/>
      <c r="G51" s="2"/>
      <c r="H51" s="2"/>
    </row>
    <row r="52" spans="1:8" ht="15">
      <c r="A52" s="1">
        <v>46224</v>
      </c>
      <c r="B52" s="2" t="s">
        <v>26</v>
      </c>
      <c r="C52" s="2">
        <v>5404061153</v>
      </c>
      <c r="D52" s="2"/>
      <c r="E52" s="2" t="s">
        <v>30</v>
      </c>
      <c r="F52" s="2"/>
      <c r="G52" s="2"/>
      <c r="H52" s="2"/>
    </row>
    <row r="53" spans="1:8" ht="15">
      <c r="A53" s="1">
        <v>46224</v>
      </c>
      <c r="B53" s="2" t="s">
        <v>26</v>
      </c>
      <c r="C53" s="2">
        <v>5404061390</v>
      </c>
      <c r="D53" s="2"/>
      <c r="E53" s="2" t="s">
        <v>32</v>
      </c>
      <c r="F53" s="2"/>
      <c r="G53" s="2"/>
      <c r="H53" s="2"/>
    </row>
    <row r="54" spans="1:8" ht="15">
      <c r="A54" s="1">
        <v>46224</v>
      </c>
      <c r="B54" s="2" t="s">
        <v>26</v>
      </c>
      <c r="C54" s="2">
        <v>5404090097</v>
      </c>
      <c r="D54" s="2"/>
      <c r="E54" s="2" t="s">
        <v>25</v>
      </c>
      <c r="F54" s="2"/>
      <c r="G54" s="2"/>
      <c r="H54" s="2"/>
    </row>
    <row r="55" spans="1:8" ht="15">
      <c r="A55" s="1">
        <v>46225</v>
      </c>
      <c r="B55" s="2" t="s">
        <v>17</v>
      </c>
      <c r="C55" s="2">
        <v>5404061485</v>
      </c>
      <c r="D55" s="2"/>
      <c r="E55" s="2" t="s">
        <v>18</v>
      </c>
      <c r="F55" s="2"/>
      <c r="G55" s="2"/>
      <c r="H55" s="2"/>
    </row>
    <row r="56" spans="1:8" ht="15">
      <c r="A56" s="1">
        <v>46225</v>
      </c>
      <c r="B56" s="2" t="s">
        <v>17</v>
      </c>
      <c r="C56" s="2">
        <v>5404061096</v>
      </c>
      <c r="D56" s="2"/>
      <c r="E56" s="2" t="s">
        <v>31</v>
      </c>
      <c r="F56" s="2"/>
      <c r="G56" s="2"/>
      <c r="H56" s="2"/>
    </row>
    <row r="57" spans="1:8" ht="15">
      <c r="A57" s="1">
        <v>46225</v>
      </c>
      <c r="B57" s="2" t="s">
        <v>17</v>
      </c>
      <c r="C57" s="2">
        <v>5404090543</v>
      </c>
      <c r="D57" s="2"/>
      <c r="E57" s="2" t="s">
        <v>23</v>
      </c>
      <c r="F57" s="2"/>
      <c r="G57" s="2"/>
      <c r="H57" s="2"/>
    </row>
    <row r="58" spans="1:8" ht="15">
      <c r="A58" s="1">
        <v>46226</v>
      </c>
      <c r="B58" s="2" t="s">
        <v>26</v>
      </c>
      <c r="C58" s="2">
        <v>5404109870</v>
      </c>
      <c r="D58" s="2"/>
      <c r="E58" s="2"/>
      <c r="F58" s="2"/>
      <c r="G58" s="2"/>
      <c r="H58" s="2"/>
    </row>
    <row r="59" spans="1:8" ht="15">
      <c r="A59" s="1">
        <v>46226</v>
      </c>
      <c r="B59" s="2" t="s">
        <v>26</v>
      </c>
      <c r="C59" s="2">
        <v>5404110258</v>
      </c>
      <c r="D59" s="2"/>
      <c r="E59" s="2"/>
      <c r="F59" s="2"/>
      <c r="G59" s="2"/>
      <c r="H59" s="2"/>
    </row>
    <row r="60" spans="1:8" ht="15">
      <c r="A60" s="1">
        <v>46226</v>
      </c>
      <c r="B60" s="2" t="s">
        <v>26</v>
      </c>
      <c r="C60" s="2">
        <v>5404110288</v>
      </c>
      <c r="D60" s="2"/>
      <c r="E60" s="2"/>
      <c r="F60" s="2"/>
      <c r="G60" s="2"/>
      <c r="H60" s="2"/>
    </row>
    <row r="61" spans="1:8" ht="15">
      <c r="A61" s="1">
        <v>46226</v>
      </c>
      <c r="B61" s="2" t="s">
        <v>26</v>
      </c>
      <c r="C61" s="2">
        <v>5404110278</v>
      </c>
      <c r="D61" s="2"/>
      <c r="E61" s="2"/>
      <c r="F61" s="2"/>
      <c r="G61" s="2"/>
      <c r="H61" s="2"/>
    </row>
    <row r="62" spans="1:8" ht="15">
      <c r="A62" s="1">
        <v>46226</v>
      </c>
      <c r="B62" s="2" t="s">
        <v>26</v>
      </c>
      <c r="C62" s="2">
        <v>5404112867</v>
      </c>
      <c r="D62" s="2"/>
      <c r="E62" s="2"/>
      <c r="F62" s="2"/>
      <c r="G62" s="2"/>
      <c r="H62" s="2"/>
    </row>
    <row r="63" spans="1:8" ht="15">
      <c r="A63" s="1">
        <v>46226</v>
      </c>
      <c r="B63" s="2" t="s">
        <v>26</v>
      </c>
      <c r="C63" s="2">
        <v>5404113030</v>
      </c>
      <c r="D63" s="2"/>
      <c r="E63" s="2"/>
      <c r="F63" s="2"/>
      <c r="G63" s="2"/>
      <c r="H63" s="2"/>
    </row>
    <row r="64" spans="1:8" ht="15">
      <c r="A64" s="1">
        <v>46226</v>
      </c>
      <c r="B64" s="2" t="s">
        <v>26</v>
      </c>
      <c r="C64" s="2">
        <v>5404113139</v>
      </c>
      <c r="D64" s="2"/>
      <c r="E64" s="2"/>
      <c r="F64" s="2"/>
      <c r="G64" s="2"/>
      <c r="H64" s="2"/>
    </row>
    <row r="65" spans="1:8" ht="15">
      <c r="A65" s="1">
        <v>46226</v>
      </c>
      <c r="B65" s="2" t="s">
        <v>26</v>
      </c>
      <c r="C65" s="2">
        <v>5404112814</v>
      </c>
      <c r="D65" s="2"/>
      <c r="E65" s="2"/>
      <c r="F65" s="2"/>
      <c r="G65" s="2"/>
      <c r="H65" s="2"/>
    </row>
    <row r="66" spans="1:8" ht="15">
      <c r="A66" s="1">
        <v>46226</v>
      </c>
      <c r="B66" s="2" t="s">
        <v>26</v>
      </c>
      <c r="C66" s="2">
        <v>5404101450</v>
      </c>
      <c r="D66" s="2"/>
      <c r="E66" s="2"/>
      <c r="F66" s="2"/>
      <c r="G66" s="2"/>
      <c r="H66" s="2"/>
    </row>
    <row r="67" spans="1:8" ht="15">
      <c r="A67" s="1">
        <v>46226</v>
      </c>
      <c r="B67" s="2" t="s">
        <v>26</v>
      </c>
      <c r="C67" s="2">
        <v>5404111116</v>
      </c>
      <c r="D67" s="2"/>
      <c r="E67" s="2"/>
      <c r="F67" s="2"/>
      <c r="G67" s="2"/>
      <c r="H67" s="2"/>
    </row>
    <row r="68" spans="1:8" ht="15">
      <c r="A68" s="1">
        <v>46226</v>
      </c>
      <c r="B68" s="2" t="s">
        <v>26</v>
      </c>
      <c r="C68" s="2">
        <v>5404101204</v>
      </c>
      <c r="D68" s="2"/>
      <c r="E68" s="2"/>
      <c r="F68" s="2"/>
      <c r="G68" s="2"/>
      <c r="H68" s="2"/>
    </row>
    <row r="69" spans="1:8" ht="15">
      <c r="A69" s="1">
        <v>46226</v>
      </c>
      <c r="B69" s="2" t="s">
        <v>26</v>
      </c>
      <c r="C69" s="2">
        <v>5404101225</v>
      </c>
      <c r="D69" s="2"/>
      <c r="E69" s="2"/>
      <c r="F69" s="2"/>
      <c r="G69" s="2"/>
      <c r="H69" s="2"/>
    </row>
    <row r="70" spans="1:8" ht="15">
      <c r="A70" s="1">
        <v>46226</v>
      </c>
      <c r="B70" s="2" t="s">
        <v>26</v>
      </c>
      <c r="C70" s="2">
        <v>5404101299</v>
      </c>
      <c r="D70" s="2"/>
      <c r="E70" s="2"/>
      <c r="F70" s="2"/>
      <c r="G70" s="2"/>
      <c r="H70" s="2"/>
    </row>
    <row r="71" spans="1:8" ht="15">
      <c r="A71" s="1">
        <v>46226</v>
      </c>
      <c r="B71" s="2" t="s">
        <v>26</v>
      </c>
      <c r="C71" s="2">
        <v>5404101338</v>
      </c>
      <c r="D71" s="2"/>
      <c r="E71" s="2"/>
      <c r="F71" s="2"/>
      <c r="G71" s="2"/>
      <c r="H71" s="2"/>
    </row>
    <row r="72" spans="1:8" ht="15">
      <c r="A72" s="1">
        <v>46226</v>
      </c>
      <c r="B72" s="2" t="s">
        <v>26</v>
      </c>
      <c r="C72" s="2">
        <v>5404101421</v>
      </c>
      <c r="D72" s="2"/>
      <c r="E72" s="2"/>
      <c r="F72" s="2"/>
      <c r="G72" s="2"/>
      <c r="H72" s="2"/>
    </row>
    <row r="73" spans="1:8" ht="15">
      <c r="A73" s="1">
        <v>46226</v>
      </c>
      <c r="B73" s="2" t="s">
        <v>26</v>
      </c>
      <c r="C73" s="2">
        <v>5404101450</v>
      </c>
      <c r="D73" s="2"/>
      <c r="E73" s="2"/>
      <c r="F73" s="2"/>
      <c r="G73" s="2"/>
      <c r="H73" s="2"/>
    </row>
    <row r="74" spans="1:8" ht="15">
      <c r="A74" s="1">
        <v>46226</v>
      </c>
      <c r="B74" s="2" t="s">
        <v>26</v>
      </c>
      <c r="C74" s="2">
        <v>5404113176</v>
      </c>
      <c r="D74" s="2"/>
      <c r="E74" s="2"/>
      <c r="F74" s="2"/>
      <c r="G74" s="2"/>
      <c r="H74" s="2"/>
    </row>
    <row r="75" spans="1:8" ht="15">
      <c r="A75" s="1">
        <v>46226</v>
      </c>
      <c r="B75" s="2" t="s">
        <v>26</v>
      </c>
      <c r="C75" s="2">
        <v>5404112783</v>
      </c>
      <c r="D75" s="2"/>
      <c r="E75" s="2"/>
      <c r="F75" s="2"/>
      <c r="G75" s="2"/>
      <c r="H75" s="2"/>
    </row>
    <row r="76" spans="1:8" ht="15">
      <c r="A76" s="1">
        <v>46226</v>
      </c>
      <c r="B76" s="2" t="s">
        <v>26</v>
      </c>
      <c r="C76" s="2">
        <v>5404112874</v>
      </c>
      <c r="D76" s="2"/>
      <c r="E76" s="2"/>
      <c r="F76" s="2"/>
      <c r="G76" s="2"/>
      <c r="H76" s="2"/>
    </row>
    <row r="77" spans="1:8" ht="15">
      <c r="A77" s="1">
        <v>46226</v>
      </c>
      <c r="B77" s="2" t="s">
        <v>26</v>
      </c>
      <c r="C77" s="2">
        <v>5404112880</v>
      </c>
      <c r="D77" s="2"/>
      <c r="E77" s="2"/>
      <c r="F77" s="2"/>
      <c r="G77" s="2"/>
      <c r="H77" s="2"/>
    </row>
    <row r="78" spans="1:8" ht="15">
      <c r="A78" s="1">
        <v>46227</v>
      </c>
      <c r="B78" s="2" t="s">
        <v>17</v>
      </c>
      <c r="C78" s="2">
        <v>5404136573</v>
      </c>
      <c r="D78" s="2"/>
      <c r="E78" s="2"/>
      <c r="F78" s="2"/>
      <c r="G78" s="2"/>
      <c r="H78" s="2"/>
    </row>
    <row r="79" spans="1:8" ht="15">
      <c r="A79" s="1">
        <v>46227</v>
      </c>
      <c r="B79" s="2" t="s">
        <v>17</v>
      </c>
      <c r="C79" s="2">
        <v>5404131133</v>
      </c>
      <c r="D79" s="2"/>
      <c r="E79" s="2"/>
      <c r="F79" s="2"/>
      <c r="G79" s="2"/>
      <c r="H79" s="2"/>
    </row>
    <row r="80" spans="1:8" ht="15">
      <c r="A80" s="1">
        <v>46227</v>
      </c>
      <c r="B80" s="2" t="s">
        <v>17</v>
      </c>
      <c r="C80" s="2">
        <v>5404139113</v>
      </c>
      <c r="D80" s="2"/>
      <c r="E80" s="2"/>
      <c r="F80" s="2"/>
      <c r="G80" s="2"/>
      <c r="H80" s="2"/>
    </row>
    <row r="81" spans="1:8" ht="15">
      <c r="A81" s="1">
        <v>46227</v>
      </c>
      <c r="B81" s="2" t="s">
        <v>17</v>
      </c>
      <c r="C81" s="2">
        <v>5404139113</v>
      </c>
      <c r="D81" s="2"/>
      <c r="E81" s="2"/>
      <c r="F81" s="2"/>
      <c r="G81" s="2"/>
      <c r="H81" s="2"/>
    </row>
  </sheetData>
  <dataValidations count="3">
    <dataValidation type="list" allowBlank="1" showInputMessage="1" showErrorMessage="1" sqref="G2:G81" xr:uid="{5D463278-20AC-40FB-88C8-22AD6A6A304D}">
      <formula1>"ACTIVE,PENDING,MONITORING,ROUTED,CLOSED"</formula1>
    </dataValidation>
    <dataValidation type="list" allowBlank="1" showInputMessage="1" showErrorMessage="1" sqref="D2:D81" xr:uid="{15F89225-A1FF-4218-97FD-1E04EF43D41D}">
      <formula1>"TROUBLESHOOTING,RMA,LICENSING.MISROUTED/DISCONNECTED,OUT OF SCOPE"</formula1>
    </dataValidation>
    <dataValidation type="list" allowBlank="1" showInputMessage="1" showErrorMessage="1" sqref="B2:B81" xr:uid="{BA48E2E0-6BDC-4F73-942A-ECDA11226A4A}">
      <formula1>"CALL,CHAT,MFQ"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85F0-B4D7-4845-BCA7-39DA250851E9}">
  <sheetPr codeName="Sheet3"/>
  <dimension ref="A1:H2"/>
  <sheetViews>
    <sheetView workbookViewId="0">
      <pane ySplit="1" topLeftCell="A2" activePane="bottomLeft" state="frozen"/>
      <selection pane="bottomLeft" sqref="A1:XFD1"/>
    </sheetView>
  </sheetViews>
  <sheetFormatPr defaultColWidth="0" defaultRowHeight="14.45"/>
  <cols>
    <col min="1" max="1" width="9.85546875" bestFit="1" customWidth="1"/>
    <col min="2" max="2" width="18" bestFit="1" customWidth="1"/>
    <col min="3" max="3" width="11" bestFit="1" customWidth="1"/>
    <col min="4" max="4" width="15.140625" bestFit="1" customWidth="1"/>
    <col min="5" max="5" width="20.140625" bestFit="1" customWidth="1"/>
    <col min="6" max="6" width="16.5703125" bestFit="1" customWidth="1"/>
    <col min="7" max="7" width="11.5703125" bestFit="1" customWidth="1"/>
    <col min="8" max="8" width="19" bestFit="1" customWidth="1"/>
    <col min="9" max="16384" width="8.7109375" hidden="1"/>
  </cols>
  <sheetData>
    <row r="1" spans="1:8">
      <c r="A1" s="1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>
      <c r="A2" s="1"/>
      <c r="B2" s="2"/>
      <c r="C2" s="2"/>
      <c r="D2" s="2"/>
      <c r="E2" s="2"/>
      <c r="F2" s="2"/>
      <c r="G2" s="2"/>
      <c r="H2" s="2"/>
    </row>
  </sheetData>
  <dataValidations count="3">
    <dataValidation type="list" allowBlank="1" showInputMessage="1" showErrorMessage="1" sqref="B2" xr:uid="{56697A0F-DD8A-481B-8374-E8B7BE9383FB}">
      <formula1>"CALL,CHAT,MFQ"</formula1>
    </dataValidation>
    <dataValidation type="list" allowBlank="1" showInputMessage="1" showErrorMessage="1" sqref="D2" xr:uid="{11E17F9B-16F9-4CDD-BB96-7CC8683C464B}">
      <formula1>"TROUBLESHOOTING,RMA,LICENSING.MISROUTED/DISCONNECTED,OUT OF SCOPE"</formula1>
    </dataValidation>
    <dataValidation type="list" allowBlank="1" showInputMessage="1" showErrorMessage="1" sqref="G2" xr:uid="{0F62F6C0-AC59-40FA-8182-F745B00AE542}">
      <formula1>"ACTIVE,PENDING,MONITORING,ROUTED,CLOSED"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E93D-04C3-4CD5-81C9-C3908896A55D}">
  <sheetPr codeName="Sheet4"/>
  <dimension ref="A1:H2"/>
  <sheetViews>
    <sheetView workbookViewId="0">
      <pane ySplit="1" topLeftCell="A2" activePane="bottomLeft" state="frozen"/>
      <selection pane="bottomLeft" sqref="A1:XFD1"/>
    </sheetView>
  </sheetViews>
  <sheetFormatPr defaultColWidth="0" defaultRowHeight="14.45"/>
  <cols>
    <col min="1" max="1" width="9.85546875" bestFit="1" customWidth="1"/>
    <col min="2" max="2" width="18" bestFit="1" customWidth="1"/>
    <col min="3" max="3" width="11" bestFit="1" customWidth="1"/>
    <col min="4" max="4" width="15.140625" bestFit="1" customWidth="1"/>
    <col min="5" max="5" width="20.140625" bestFit="1" customWidth="1"/>
    <col min="6" max="6" width="16.5703125" bestFit="1" customWidth="1"/>
    <col min="7" max="7" width="11.5703125" bestFit="1" customWidth="1"/>
    <col min="8" max="8" width="19" bestFit="1" customWidth="1"/>
    <col min="9" max="16384" width="8.7109375" hidden="1"/>
  </cols>
  <sheetData>
    <row r="1" spans="1:8">
      <c r="A1" s="1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>
      <c r="A2" s="1"/>
      <c r="B2" s="2"/>
      <c r="C2" s="2"/>
      <c r="D2" s="2"/>
      <c r="E2" s="2"/>
      <c r="F2" s="2"/>
      <c r="G2" s="2"/>
      <c r="H2" s="2"/>
    </row>
  </sheetData>
  <dataValidations count="3">
    <dataValidation type="list" allowBlank="1" showInputMessage="1" showErrorMessage="1" sqref="G2" xr:uid="{9D3FE684-E418-4939-8C97-50E14021EAFC}">
      <formula1>"ACTIVE,PENDING,MONITORING,ROUTED,CLOSED"</formula1>
    </dataValidation>
    <dataValidation type="list" allowBlank="1" showInputMessage="1" showErrorMessage="1" sqref="D2" xr:uid="{909C2060-490B-444D-AA84-02FD6B933848}">
      <formula1>"TROUBLESHOOTING,RMA,LICENSING.MISROUTED/DISCONNECTED,OUT OF SCOPE"</formula1>
    </dataValidation>
    <dataValidation type="list" allowBlank="1" showInputMessage="1" showErrorMessage="1" sqref="B2" xr:uid="{A52ABE88-205A-44BE-86CD-7DF06042F66A}">
      <formula1>"CALL,CHAT,MFQ"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12F49-F039-4D60-A2ED-EFC9B9DD3E6D}">
  <sheetPr codeName="Sheet5"/>
  <dimension ref="A1:H2"/>
  <sheetViews>
    <sheetView workbookViewId="0">
      <pane ySplit="1" topLeftCell="A2" activePane="bottomLeft" state="frozen"/>
      <selection pane="bottomLeft" activeCell="D1" sqref="A1:XFD1"/>
    </sheetView>
  </sheetViews>
  <sheetFormatPr defaultColWidth="0" defaultRowHeight="14.45"/>
  <cols>
    <col min="1" max="1" width="9.85546875" bestFit="1" customWidth="1"/>
    <col min="2" max="2" width="18" bestFit="1" customWidth="1"/>
    <col min="3" max="3" width="11" bestFit="1" customWidth="1"/>
    <col min="4" max="4" width="15.140625" bestFit="1" customWidth="1"/>
    <col min="5" max="5" width="20.140625" bestFit="1" customWidth="1"/>
    <col min="6" max="6" width="16.5703125" bestFit="1" customWidth="1"/>
    <col min="7" max="7" width="11.5703125" bestFit="1" customWidth="1"/>
    <col min="8" max="8" width="19" bestFit="1" customWidth="1"/>
    <col min="9" max="16384" width="8.7109375" hidden="1"/>
  </cols>
  <sheetData>
    <row r="1" spans="1:8">
      <c r="A1" s="1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>
      <c r="A2" s="1"/>
      <c r="B2" s="2"/>
      <c r="C2" s="2"/>
      <c r="D2" s="2"/>
      <c r="E2" s="2"/>
      <c r="F2" s="2"/>
      <c r="G2" s="2"/>
      <c r="H2" s="2"/>
    </row>
  </sheetData>
  <dataValidations count="3">
    <dataValidation type="list" allowBlank="1" showInputMessage="1" showErrorMessage="1" sqref="G2" xr:uid="{AD827BFB-1E6D-4108-B7BC-2FA4D04CDADD}">
      <formula1>"ACTIVE,PENDING,MONITORING,ROUTED,CLOSED"</formula1>
    </dataValidation>
    <dataValidation type="list" allowBlank="1" showInputMessage="1" showErrorMessage="1" sqref="D2" xr:uid="{E10C48E0-30D1-4BDA-895C-755F8B9839CA}">
      <formula1>"TROUBLESHOOTING,RMA,LICENSING.MISROUTED/DISCONNECTED,OUT OF SCOPE"</formula1>
    </dataValidation>
    <dataValidation type="list" allowBlank="1" showInputMessage="1" showErrorMessage="1" sqref="B2" xr:uid="{6E17C33F-B94E-4C05-9C20-AFB33FCC1E66}">
      <formula1>"CALL,CHAT,MFQ"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2F0C7-9FF0-4F8E-AFA4-0660EBFA1361}">
  <sheetPr codeName="Sheet6"/>
  <dimension ref="A1:H2"/>
  <sheetViews>
    <sheetView workbookViewId="0">
      <pane ySplit="1" topLeftCell="A2" activePane="bottomLeft" state="frozen"/>
      <selection pane="bottomLeft" activeCell="I1" sqref="I1:XFD1048576"/>
    </sheetView>
  </sheetViews>
  <sheetFormatPr defaultColWidth="0" defaultRowHeight="14.45"/>
  <cols>
    <col min="1" max="1" width="9.85546875" bestFit="1" customWidth="1"/>
    <col min="2" max="2" width="18" bestFit="1" customWidth="1"/>
    <col min="3" max="3" width="11" bestFit="1" customWidth="1"/>
    <col min="4" max="4" width="15.140625" bestFit="1" customWidth="1"/>
    <col min="5" max="5" width="20.140625" bestFit="1" customWidth="1"/>
    <col min="6" max="6" width="16.5703125" bestFit="1" customWidth="1"/>
    <col min="7" max="7" width="11.5703125" bestFit="1" customWidth="1"/>
    <col min="8" max="8" width="19" bestFit="1" customWidth="1"/>
    <col min="9" max="16384" width="8.7109375" hidden="1"/>
  </cols>
  <sheetData>
    <row r="1" spans="1:8">
      <c r="A1" s="1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>
      <c r="A2" s="1"/>
      <c r="B2" s="2"/>
      <c r="C2" s="2"/>
      <c r="D2" s="2"/>
      <c r="E2" s="2"/>
      <c r="F2" s="2"/>
      <c r="G2" s="2"/>
      <c r="H2" s="2"/>
    </row>
  </sheetData>
  <dataValidations count="3">
    <dataValidation type="list" allowBlank="1" showInputMessage="1" showErrorMessage="1" sqref="G2" xr:uid="{76036592-0798-417D-B43B-2B5E29C0F7DE}">
      <formula1>"ACTIVE,PENDING,MONITORING,ROUTED,CLOSED"</formula1>
    </dataValidation>
    <dataValidation type="list" allowBlank="1" showInputMessage="1" showErrorMessage="1" sqref="D2" xr:uid="{48FFCC79-CDB3-46B1-B435-C914992A00C9}">
      <formula1>"TROUBLESHOOTING,RMA,LICENSING.MISROUTED/DISCONNECTED,OUT OF SCOPE"</formula1>
    </dataValidation>
    <dataValidation type="list" allowBlank="1" showInputMessage="1" showErrorMessage="1" sqref="B2" xr:uid="{748258D3-6409-4354-82D1-BD8A7377513D}">
      <formula1>"CALL,CHAT,MFQ"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7359E-E142-47EE-B281-EC1CDE6032EA}">
  <sheetPr codeName="Sheet7"/>
  <dimension ref="A1:H2"/>
  <sheetViews>
    <sheetView workbookViewId="0">
      <pane ySplit="1" topLeftCell="A2" activePane="bottomLeft" state="frozen"/>
      <selection pane="bottomLeft" activeCell="I1" sqref="I1:XFD1048576"/>
    </sheetView>
  </sheetViews>
  <sheetFormatPr defaultColWidth="0" defaultRowHeight="14.45"/>
  <cols>
    <col min="1" max="1" width="9.85546875" bestFit="1" customWidth="1"/>
    <col min="2" max="2" width="18" bestFit="1" customWidth="1"/>
    <col min="3" max="3" width="11" bestFit="1" customWidth="1"/>
    <col min="4" max="4" width="15.140625" bestFit="1" customWidth="1"/>
    <col min="5" max="5" width="20.140625" bestFit="1" customWidth="1"/>
    <col min="6" max="6" width="16.5703125" bestFit="1" customWidth="1"/>
    <col min="7" max="7" width="11.5703125" bestFit="1" customWidth="1"/>
    <col min="8" max="8" width="19" bestFit="1" customWidth="1"/>
    <col min="9" max="16384" width="8.7109375" hidden="1"/>
  </cols>
  <sheetData>
    <row r="1" spans="1:8">
      <c r="A1" s="1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>
      <c r="A2" s="1"/>
      <c r="B2" s="2"/>
      <c r="C2" s="2"/>
      <c r="D2" s="2"/>
      <c r="E2" s="2"/>
      <c r="F2" s="2"/>
      <c r="G2" s="2"/>
      <c r="H2" s="2"/>
    </row>
  </sheetData>
  <dataValidations count="3">
    <dataValidation type="list" allowBlank="1" showInputMessage="1" showErrorMessage="1" sqref="G2" xr:uid="{5BB557A9-0A2B-40FD-A5C9-6F0DED9252AE}">
      <formula1>"ACTIVE,PENDING,MONITORING,ROUTED,CLOSED"</formula1>
    </dataValidation>
    <dataValidation type="list" allowBlank="1" showInputMessage="1" showErrorMessage="1" sqref="D2" xr:uid="{16D0BD21-A9D7-42FF-8DA5-312FA056C5F7}">
      <formula1>"TROUBLESHOOTING,RMA,LICENSING.MISROUTED/DISCONNECTED,OUT OF SCOPE"</formula1>
    </dataValidation>
    <dataValidation type="list" allowBlank="1" showInputMessage="1" showErrorMessage="1" sqref="B2" xr:uid="{DDFD4505-D0E0-457C-9C94-3D9EADFD8BD7}">
      <formula1>"CALL,CHAT,MFQ"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C6D38-1999-41F8-BF93-345034AED408}">
  <sheetPr codeName="Sheet8"/>
  <dimension ref="A1:H2"/>
  <sheetViews>
    <sheetView topLeftCell="D1" workbookViewId="0">
      <pane ySplit="1" topLeftCell="A2" activePane="bottomLeft" state="frozen"/>
      <selection pane="bottomLeft" activeCell="D1" sqref="A1:XFD1"/>
      <selection activeCell="D1" sqref="D1"/>
    </sheetView>
  </sheetViews>
  <sheetFormatPr defaultColWidth="0" defaultRowHeight="14.45"/>
  <cols>
    <col min="1" max="1" width="9.85546875" bestFit="1" customWidth="1"/>
    <col min="2" max="2" width="18" bestFit="1" customWidth="1"/>
    <col min="3" max="3" width="11" bestFit="1" customWidth="1"/>
    <col min="4" max="4" width="15.140625" bestFit="1" customWidth="1"/>
    <col min="5" max="5" width="20.140625" bestFit="1" customWidth="1"/>
    <col min="6" max="6" width="16.5703125" bestFit="1" customWidth="1"/>
    <col min="7" max="7" width="11.5703125" bestFit="1" customWidth="1"/>
    <col min="8" max="8" width="19" bestFit="1" customWidth="1"/>
    <col min="9" max="16384" width="8.7109375" hidden="1"/>
  </cols>
  <sheetData>
    <row r="1" spans="1:8">
      <c r="A1" s="1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>
      <c r="A2" s="1"/>
      <c r="B2" s="2"/>
      <c r="C2" s="2"/>
      <c r="D2" s="2"/>
      <c r="E2" s="2"/>
      <c r="F2" s="2"/>
      <c r="G2" s="2"/>
      <c r="H2" s="2"/>
    </row>
  </sheetData>
  <dataValidations count="3">
    <dataValidation type="list" allowBlank="1" showInputMessage="1" showErrorMessage="1" sqref="G2" xr:uid="{3DA35C7F-230A-432C-8D18-6A510FAA89D8}">
      <formula1>"ACTIVE,PENDING,MONITORING,ROUTED,CLOSED"</formula1>
    </dataValidation>
    <dataValidation type="list" allowBlank="1" showInputMessage="1" showErrorMessage="1" sqref="D2" xr:uid="{7B894B73-D0F8-4FDE-8F4E-78BEF8AE0644}">
      <formula1>"TROUBLESHOOTING,RMA,LICENSING.MISROUTED/DISCONNECTED,OUT OF SCOPE"</formula1>
    </dataValidation>
    <dataValidation type="list" allowBlank="1" showInputMessage="1" showErrorMessage="1" sqref="B2" xr:uid="{C5B98851-EEB0-48F8-961F-D843773AC40A}">
      <formula1>"CALL,CHAT,MFQ"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0019-DECD-4427-A3D1-48E0038FF638}">
  <sheetPr codeName="Sheet9"/>
  <dimension ref="A1:H2"/>
  <sheetViews>
    <sheetView workbookViewId="0">
      <pane ySplit="1" topLeftCell="A2" activePane="bottomLeft" state="frozen"/>
      <selection pane="bottomLeft" sqref="A1:XFD1"/>
    </sheetView>
  </sheetViews>
  <sheetFormatPr defaultColWidth="0" defaultRowHeight="14.45"/>
  <cols>
    <col min="1" max="1" width="9.85546875" bestFit="1" customWidth="1"/>
    <col min="2" max="2" width="18" bestFit="1" customWidth="1"/>
    <col min="3" max="3" width="11" bestFit="1" customWidth="1"/>
    <col min="4" max="4" width="15.140625" bestFit="1" customWidth="1"/>
    <col min="5" max="5" width="20.140625" bestFit="1" customWidth="1"/>
    <col min="6" max="6" width="16.5703125" bestFit="1" customWidth="1"/>
    <col min="7" max="7" width="11.5703125" bestFit="1" customWidth="1"/>
    <col min="8" max="8" width="19" bestFit="1" customWidth="1"/>
    <col min="9" max="16384" width="8.7109375" hidden="1"/>
  </cols>
  <sheetData>
    <row r="1" spans="1:8">
      <c r="A1" s="1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>
      <c r="A2" s="1"/>
      <c r="B2" s="2"/>
      <c r="C2" s="2"/>
      <c r="D2" s="2"/>
      <c r="E2" s="2"/>
      <c r="F2" s="2"/>
      <c r="G2" s="2"/>
      <c r="H2" s="2"/>
    </row>
  </sheetData>
  <dataValidations count="3">
    <dataValidation type="list" allowBlank="1" showInputMessage="1" showErrorMessage="1" sqref="G2" xr:uid="{CA35A92D-8173-4E08-BE0D-55686F4A255F}">
      <formula1>"ACTIVE,PENDING,MONITORING,ROUTED,CLOSED"</formula1>
    </dataValidation>
    <dataValidation type="list" allowBlank="1" showInputMessage="1" showErrorMessage="1" sqref="D2" xr:uid="{397BB7F6-96CE-4AB5-88A4-0A735A9EEF66}">
      <formula1>"TROUBLESHOOTING,RMA,LICENSING.MISROUTED/DISCONNECTED,OUT OF SCOPE"</formula1>
    </dataValidation>
    <dataValidation type="list" allowBlank="1" showInputMessage="1" showErrorMessage="1" sqref="B2" xr:uid="{3AF96CCA-3B09-45AB-8E5A-6D652E844F8E}">
      <formula1>"CALL,CHAT,MFQ"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77E3F-BBFD-47AC-AA6A-B122E66AC975}">
  <sheetPr codeName="Sheet10"/>
  <dimension ref="A1:H2"/>
  <sheetViews>
    <sheetView workbookViewId="0">
      <pane ySplit="1" topLeftCell="A2" activePane="bottomLeft" state="frozen"/>
      <selection pane="bottomLeft" activeCell="B29" sqref="B29"/>
    </sheetView>
  </sheetViews>
  <sheetFormatPr defaultColWidth="0" defaultRowHeight="14.45"/>
  <cols>
    <col min="1" max="1" width="9.85546875" bestFit="1" customWidth="1"/>
    <col min="2" max="2" width="18" bestFit="1" customWidth="1"/>
    <col min="3" max="3" width="11" bestFit="1" customWidth="1"/>
    <col min="4" max="4" width="15.140625" bestFit="1" customWidth="1"/>
    <col min="5" max="5" width="20.140625" bestFit="1" customWidth="1"/>
    <col min="6" max="6" width="16.5703125" bestFit="1" customWidth="1"/>
    <col min="7" max="7" width="11.5703125" bestFit="1" customWidth="1"/>
    <col min="8" max="8" width="19" bestFit="1" customWidth="1"/>
    <col min="9" max="16384" width="8.7109375" hidden="1"/>
  </cols>
  <sheetData>
    <row r="1" spans="1:8">
      <c r="A1" s="1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>
      <c r="A2" s="1"/>
      <c r="B2" s="2"/>
      <c r="C2" s="2"/>
      <c r="D2" s="2"/>
      <c r="E2" s="2"/>
      <c r="F2" s="2"/>
      <c r="G2" s="2"/>
      <c r="H2" s="2"/>
    </row>
  </sheetData>
  <dataValidations count="3">
    <dataValidation type="list" allowBlank="1" showInputMessage="1" showErrorMessage="1" sqref="G2" xr:uid="{3D054F28-1FA6-4D69-9563-03F37066621C}">
      <formula1>"ACTIVE,PENDING,MONITORING,ROUTED,CLOSED"</formula1>
    </dataValidation>
    <dataValidation type="list" allowBlank="1" showInputMessage="1" showErrorMessage="1" sqref="D2" xr:uid="{B97E8AF4-B9A3-4577-AEC8-F704E93A7EDC}">
      <formula1>"TROUBLESHOOTING,RMA,LICENSING.MISROUTED/DISCONNECTED,OUT OF SCOPE"</formula1>
    </dataValidation>
    <dataValidation type="list" allowBlank="1" showInputMessage="1" showErrorMessage="1" sqref="B2" xr:uid="{5D17CD35-6A57-43F3-BA4F-90987935C55F}">
      <formula1>"CALL,CHAT,MFQ"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2026-07-25T09:17:39Z</dcterms:created>
  <dcterms:modified xsi:type="dcterms:W3CDTF">2026-07-25T12:19:00Z</dcterms:modified>
  <cp:category/>
  <cp:contentStatus/>
</cp:coreProperties>
</file>